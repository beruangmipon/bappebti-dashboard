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ppebti\Downloads\"/>
    </mc:Choice>
  </mc:AlternateContent>
  <xr:revisionPtr revIDLastSave="0" documentId="13_ncr:1_{0FBD1097-F563-4C80-BEDC-805E49C123DC}" xr6:coauthVersionLast="47" xr6:coauthVersionMax="47" xr10:uidLastSave="{00000000-0000-0000-0000-000000000000}"/>
  <bookViews>
    <workbookView xWindow="-120" yWindow="-120" windowWidth="29040" windowHeight="15840" tabRatio="593" xr2:uid="{00000000-000D-0000-FFFF-FFFF00000000}"/>
  </bookViews>
  <sheets>
    <sheet name="Penyesuaian IK-2027" sheetId="6" r:id="rId1"/>
  </sheets>
  <definedNames>
    <definedName name="__xlnm._FilterDatabase_1">#REF!</definedName>
    <definedName name="__xlnm._FilterDatabase_1_1">#REF!</definedName>
    <definedName name="JR_PAGE_ANCHOR_0_1">#REF!</definedName>
  </definedNames>
  <calcPr calcId="181029"/>
</workbook>
</file>

<file path=xl/calcChain.xml><?xml version="1.0" encoding="utf-8"?>
<calcChain xmlns="http://schemas.openxmlformats.org/spreadsheetml/2006/main">
  <c r="I38" i="6" l="1"/>
  <c r="I34" i="6"/>
  <c r="I30" i="6"/>
  <c r="I27" i="6"/>
  <c r="I23" i="6"/>
  <c r="I20" i="6"/>
  <c r="I17" i="6"/>
  <c r="H38" i="6"/>
  <c r="H34" i="6"/>
  <c r="H30" i="6"/>
  <c r="H27" i="6"/>
  <c r="H23" i="6"/>
  <c r="H20" i="6"/>
  <c r="H17" i="6"/>
  <c r="E15" i="6"/>
  <c r="E38" i="6"/>
  <c r="E33" i="6" s="1"/>
  <c r="E34" i="6"/>
  <c r="E30" i="6"/>
  <c r="E27" i="6"/>
  <c r="E23" i="6"/>
  <c r="E20" i="6"/>
  <c r="E17" i="6"/>
  <c r="I33" i="6" l="1"/>
  <c r="I26" i="6"/>
  <c r="H33" i="6"/>
  <c r="H26" i="6"/>
  <c r="E26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7" authorId="0" shapeId="0" xr:uid="{777CCD75-0090-4EF3-9579-54576FD273CB}">
      <text>
        <r>
          <rPr>
            <sz val="9"/>
            <color indexed="81"/>
            <rFont val="Tahoma"/>
            <family val="2"/>
          </rPr>
          <t xml:space="preserve">Cara Hitung :
Pertumbuhan transaksi PBK, SRG, dan PLK = (Tt - Tt-1 / Tt-1 ) x 100%
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Tt = [(20% Pertumbuhan Nilai Transaksi PBK) + (45% Pertumbuhan Nilai Transaksi SRG) + (35% Pertumbuhan Nilai Transaksi PLK)] pada tahun tertentu
Tt-1 = [(20% Pertumbuhan Nilai Transaksi PBK) + (45% Pertumbuhan Nilai Transaksi SRG) + (35% Pertumbuhan Nilai Transaksi PLK)] pada tahun sebelumnya</t>
        </r>
      </text>
    </comment>
  </commentList>
</comments>
</file>

<file path=xl/sharedStrings.xml><?xml version="1.0" encoding="utf-8"?>
<sst xmlns="http://schemas.openxmlformats.org/spreadsheetml/2006/main" count="121" uniqueCount="91">
  <si>
    <t>INDIKATOR</t>
  </si>
  <si>
    <t>TARGET</t>
  </si>
  <si>
    <t>CAPAIAN</t>
  </si>
  <si>
    <t>SASARAN STRATEGIS :  Meningkatnya Nilai Perdagangan Domestik</t>
  </si>
  <si>
    <t>Pertumbuhan transaksi PBK, SRG, dan PLK</t>
  </si>
  <si>
    <t>SASARAN PROGRAM 2 :  Meningkatnya birokrasi yang transparan, akuntabel dan bersih</t>
  </si>
  <si>
    <t>SASARAN PROGRAM 1 : Meningkatnya kinerja PBK, SRG, PLK yang tangguh dan berkelanjutan</t>
  </si>
  <si>
    <t>Nilai 81</t>
  </si>
  <si>
    <t>Nilai  84</t>
  </si>
  <si>
    <t>Nilai 82</t>
  </si>
  <si>
    <t>Nilai 82,25</t>
  </si>
  <si>
    <t>SASARAN KEGIATAN :  Meningkatnya pembinaan dan pengembangan PBK</t>
  </si>
  <si>
    <t>SASARAN KEGIATAN :  Meningkatnya pembinaan dan pengembangan SRG dan PLK</t>
  </si>
  <si>
    <t>SASARAN KEGIATAN : Meningkatnya Efektivitas Pengawasan dan Penindakan di bidang PBK, SRG, dan PLK</t>
  </si>
  <si>
    <t>SASARAN KEGIATAN :  Meningkatnya Efektivitas Kebijakan dan Layanan Hukum di bidang PBK, SRG, dan PLK</t>
  </si>
  <si>
    <t>WTA
Madya</t>
  </si>
  <si>
    <t>WTA
Utama</t>
  </si>
  <si>
    <t>5% (1.250
pelaku)</t>
  </si>
  <si>
    <t>Pertumbuhan Pelaku yang bertransaksi di Perdagangan Berjangka Komoditi dan Pasar Lelang Komoditas</t>
  </si>
  <si>
    <t>Pertumbuhan Gudang yang Mengimplementasikan Sistem Resi Gudang</t>
  </si>
  <si>
    <t>Tingkat Kepatuhan dan Penegakan Hukum Pelaku Usaha Perdagangan Berjangka Komoditi, Sistem Resi Gudang dan Pasar Lelang Komoditas</t>
  </si>
  <si>
    <t>Indeks Kepuasan Layanan Bidang Perdagangan Berjangka Komoditi, Sistem Resi Gudang dan Pasar Lelang Komoditas</t>
  </si>
  <si>
    <t>Indeks Penilaian Integritas Badan Pengawas Perdagangan Berjangka Komoditi</t>
  </si>
  <si>
    <t>Predikat Penilaian Tertib Administrasi Bappebti</t>
  </si>
  <si>
    <t>Indikator Kinerja Pelaksanaan Anggaran (IKPA) Bappebti</t>
  </si>
  <si>
    <t>Survey Kepuasan Masyarakat di Bidang Perdagangan Berjangka Komoditi, Sistem Resi Gudang, dan Pasar Lelang Komoditas</t>
  </si>
  <si>
    <t>Pelaku usaha yang patuh dalam kegiatan Perdagangan Berjangka Komoditi, Sistem Resi Gudang, dan Pasar Lelang Komoditas</t>
  </si>
  <si>
    <t>Persentase Penanganan Pelanggaran Ketentuan di bidang Perdagangan Berjangka Komoditi, Sistem Resi Gudang, dan Pasar Lelang Komoditas</t>
  </si>
  <si>
    <t>Indeks Evaluasi Kemanfaatan Kebijakan di Bidang PBK, SRG, dan PLK</t>
  </si>
  <si>
    <t>Penyelesaian Perselisihan di Bidang PBK yang sesuai dengan SLA</t>
  </si>
  <si>
    <t>Indeks kepuasan layanan Penyelesaian Perselisihan dan Konsultasi Hukum</t>
  </si>
  <si>
    <t>Pertumbuhan Pelaku Pasar Lelang Komoditas</t>
  </si>
  <si>
    <t>Pertumbuhan Pelaku Perdagangan Berjangka Komoditi</t>
  </si>
  <si>
    <t>Rekomendasi Kebijakan Pengembangan kelembagaan dan produk Perdagangan Berjangka Komoditi yang ditindaklanjuti</t>
  </si>
  <si>
    <t>Indeks kepuasan layanan perizinan Perdagangan Berjangka Komoditi</t>
  </si>
  <si>
    <t>Persentase jumlah peserta Bimtek di bidang Perdagangan Berjangka Komoditi yang meningkat pemahamannya</t>
  </si>
  <si>
    <t>Pertumbuhan Pengguna layanan informasi Perdagangan Berjangka Komoditi</t>
  </si>
  <si>
    <t>TARGET REV</t>
  </si>
  <si>
    <t>KETERANGAN</t>
  </si>
  <si>
    <t>Pertumbuhan Pengelola Gudang Sistem Resi Gudang</t>
  </si>
  <si>
    <t>Rekomendasi Kebijakan Pengembangan kelembagaan dan produk Sistem Resi Gudang dan Pasar Lelang Komoditas yang ditindaklanjuti</t>
  </si>
  <si>
    <t>Persentase jumlah peserta Bimtek di bidang Sistem Resi Gudang dan Pasar Lelang Komoditas yang meningkat pemahamannya</t>
  </si>
  <si>
    <t>Indeks kepuasan layanan perizinan Sistem Resi Gudang dan Pasar Lelang Komoditas</t>
  </si>
  <si>
    <t>17,96%
(1.405 pelaku)</t>
  </si>
  <si>
    <t>Nilai 90</t>
  </si>
  <si>
    <t>Nilai 82,50</t>
  </si>
  <si>
    <t>Indeks 69,79</t>
  </si>
  <si>
    <t>Nilai  91</t>
  </si>
  <si>
    <t>Nilai 90,21</t>
  </si>
  <si>
    <t>-</t>
  </si>
  <si>
    <t>CAPAIAN (TW2)</t>
  </si>
  <si>
    <t>per ags</t>
  </si>
  <si>
    <t>??</t>
  </si>
  <si>
    <t xml:space="preserve">Nilai  82,75 </t>
  </si>
  <si>
    <t>Indeks 74,6</t>
  </si>
  <si>
    <t>Indeks 70</t>
  </si>
  <si>
    <t xml:space="preserve">                                                                                                                                                                                                  </t>
  </si>
  <si>
    <t xml:space="preserve">           </t>
  </si>
  <si>
    <t xml:space="preserve">                                         </t>
  </si>
  <si>
    <t xml:space="preserve">Nilai SAKIP Badan Pengawas Perdagangan Berjangka Komoditi </t>
  </si>
  <si>
    <t>dampak dari peralihan kewenangan Bappebti ke OJK</t>
  </si>
  <si>
    <t>Mengacu pada capaian tahun Sebelumnya dan angka disesuaikandengan target  IKK pendukungnya</t>
  </si>
  <si>
    <t>???</t>
  </si>
  <si>
    <t>Mengacu pada capaian tahun 2025 dan 2026</t>
  </si>
  <si>
    <t>Mengacu pada capaian TW 2 tahun 2026 yang diprediksi pada akhir 2026 lebih dari 5%</t>
  </si>
  <si>
    <t>Target tetap (sesuai capaian sd TW 3 2026 : 84,76)</t>
  </si>
  <si>
    <t>Target tetap (sesuai capaian sd TW 3 2026 : 76,65)</t>
  </si>
  <si>
    <t>Mengacu pada capaian tahun  2025 dan 2026</t>
  </si>
  <si>
    <t>Mengacu pada capaian tahun  2025 dan 2026 namun tetap mempertimbangkan adanya perubahan kebijakan yag berdampak pada IKPA</t>
  </si>
  <si>
    <t>SASARAN KEGIATAN : Terlaksananya Dukungan Manajemen dan Dukungan Teknis Bappebti</t>
  </si>
  <si>
    <t>CAPAIAN (TW3)</t>
  </si>
  <si>
    <t>Nilai 90,12</t>
  </si>
  <si>
    <t>Nilai 81,98</t>
  </si>
  <si>
    <t>Pertumbuhan Pelaku PBK yang bertransaksi</t>
  </si>
  <si>
    <t>Pertumbuhan Pelaku PLK yang bertransaksi</t>
  </si>
  <si>
    <t>Jumlah Gudang yang mengimplementasikan SRG</t>
  </si>
  <si>
    <t xml:space="preserve"> Pelaku Usaha yang patuh dalam kegiatan PBK </t>
  </si>
  <si>
    <t xml:space="preserve"> Pelaku Usaha yang patuh dalam kegiatan SRG</t>
  </si>
  <si>
    <t xml:space="preserve"> Pelaku Usaha yang patuh dalam kegiatan PLK</t>
  </si>
  <si>
    <t>Persentase Pelaku usaha yang menindaklanjuti hasil rekomendasi pemberian sanksi</t>
  </si>
  <si>
    <t>Persentase Penanganan Kasus Pelanggaran Hukum di bidang PBK, SRG dan PLK</t>
  </si>
  <si>
    <t>Persentase Penanganan terhadap praktek PBK yang dilarang/illegal</t>
  </si>
  <si>
    <t>Jumlah pelaku usaha yang wajib lapor</t>
  </si>
  <si>
    <t>Jumlah Pelaku Usaha patuh melaporkan kegiatan usahanya</t>
  </si>
  <si>
    <t>Jumlah Sanksi</t>
  </si>
  <si>
    <t>Jumlah Respon terhadap Sanksi</t>
  </si>
  <si>
    <t>Tindaklanjut Denda</t>
  </si>
  <si>
    <t>Tindaklanjut Surat Peringatan Pengaduan Nasabah</t>
  </si>
  <si>
    <t>Penanganan Pengaduan</t>
  </si>
  <si>
    <t>Tindaklanjut hasil identifikasi</t>
  </si>
  <si>
    <t>Tindaklajut hasil pengawasan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</si>
</sst>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%"/>
    <numFmt numFmtId="165" formatCode="0.0%"/>
    <numFmt numFmtId="166" formatCode="_-* #,##0_-;\-* #,##0_-;_-* &quot;-&quot;??_-;_-@_-"/>
    <numFmt numFmtId="168" formatCode="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C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theme="1"/>
      <name val="Calibri"/>
      <family val="2"/>
      <scheme val="minor"/>
    </font>
    <font>
      <i/>
      <sz val="10"/>
      <color theme="4" tint="-0.249977111117893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i/>
      <sz val="10"/>
      <color theme="0" tint="-0.249977111117893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rgb="FF000000"/>
      <name val="Arial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u/>
      <sz val="9"/>
      <color rgb="FF000000"/>
      <name val="Arial"/>
      <family val="2"/>
    </font>
    <font>
      <i/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7">
    <xf numFmtId="0" fontId="0" fillId="0" borderId="0" xfId="0"/>
    <xf numFmtId="0" fontId="3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9" fontId="0" fillId="0" borderId="1" xfId="0" applyNumberForma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1" fontId="5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9" fontId="0" fillId="3" borderId="1" xfId="0" applyNumberForma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justify" vertical="center" wrapText="1"/>
    </xf>
    <xf numFmtId="0" fontId="7" fillId="3" borderId="4" xfId="0" applyFont="1" applyFill="1" applyBorder="1" applyAlignment="1">
      <alignment vertical="center" wrapText="1"/>
    </xf>
    <xf numFmtId="9" fontId="0" fillId="3" borderId="4" xfId="0" applyNumberFormat="1" applyFill="1" applyBorder="1" applyAlignment="1">
      <alignment horizontal="center" vertical="center" wrapText="1"/>
    </xf>
    <xf numFmtId="9" fontId="0" fillId="0" borderId="4" xfId="0" applyNumberForma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9" fontId="0" fillId="0" borderId="1" xfId="0" applyNumberForma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 wrapText="1"/>
    </xf>
    <xf numFmtId="2" fontId="0" fillId="0" borderId="1" xfId="1" quotePrefix="1" applyNumberFormat="1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/>
    </xf>
    <xf numFmtId="2" fontId="0" fillId="2" borderId="1" xfId="1" quotePrefix="1" applyNumberFormat="1" applyFont="1" applyFill="1" applyBorder="1" applyAlignment="1">
      <alignment horizontal="center" vertical="center"/>
    </xf>
    <xf numFmtId="10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0" fontId="4" fillId="3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10" fontId="14" fillId="3" borderId="4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9" fontId="16" fillId="3" borderId="1" xfId="0" applyNumberFormat="1" applyFont="1" applyFill="1" applyBorder="1" applyAlignment="1">
      <alignment horizontal="center" vertical="center" wrapText="1"/>
    </xf>
    <xf numFmtId="9" fontId="17" fillId="3" borderId="4" xfId="0" applyNumberFormat="1" applyFont="1" applyFill="1" applyBorder="1" applyAlignment="1">
      <alignment horizontal="center" vertical="center" wrapText="1"/>
    </xf>
    <xf numFmtId="9" fontId="16" fillId="0" borderId="1" xfId="0" applyNumberFormat="1" applyFont="1" applyBorder="1" applyAlignment="1">
      <alignment horizontal="center" vertical="center"/>
    </xf>
    <xf numFmtId="9" fontId="16" fillId="0" borderId="1" xfId="0" applyNumberFormat="1" applyFont="1" applyBorder="1" applyAlignment="1">
      <alignment horizontal="center" vertical="center" wrapText="1"/>
    </xf>
    <xf numFmtId="2" fontId="16" fillId="0" borderId="1" xfId="1" quotePrefix="1" applyNumberFormat="1" applyFont="1" applyFill="1" applyBorder="1" applyAlignment="1">
      <alignment horizontal="center" vertical="center"/>
    </xf>
    <xf numFmtId="10" fontId="16" fillId="0" borderId="1" xfId="0" applyNumberFormat="1" applyFont="1" applyBorder="1" applyAlignment="1">
      <alignment horizontal="center" vertical="center" wrapText="1"/>
    </xf>
    <xf numFmtId="1" fontId="16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 wrapText="1"/>
    </xf>
    <xf numFmtId="10" fontId="6" fillId="0" borderId="4" xfId="0" applyNumberFormat="1" applyFont="1" applyBorder="1" applyAlignment="1">
      <alignment horizontal="center" vertical="center" wrapText="1"/>
    </xf>
    <xf numFmtId="9" fontId="0" fillId="6" borderId="1" xfId="0" applyNumberFormat="1" applyFill="1" applyBorder="1" applyAlignment="1">
      <alignment horizontal="center" vertical="center" wrapText="1"/>
    </xf>
    <xf numFmtId="10" fontId="6" fillId="6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9" fontId="6" fillId="0" borderId="1" xfId="0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165" fontId="0" fillId="6" borderId="1" xfId="0" applyNumberFormat="1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2" fontId="0" fillId="6" borderId="1" xfId="1" quotePrefix="1" applyNumberFormat="1" applyFont="1" applyFill="1" applyBorder="1" applyAlignment="1">
      <alignment horizontal="center" vertical="center"/>
    </xf>
    <xf numFmtId="9" fontId="4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vertical="center"/>
    </xf>
    <xf numFmtId="0" fontId="13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10" fontId="4" fillId="6" borderId="1" xfId="0" applyNumberFormat="1" applyFont="1" applyFill="1" applyBorder="1" applyAlignment="1">
      <alignment horizontal="center" vertical="center" wrapText="1"/>
    </xf>
    <xf numFmtId="10" fontId="0" fillId="6" borderId="1" xfId="0" applyNumberForma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 wrapText="1"/>
    </xf>
    <xf numFmtId="166" fontId="12" fillId="0" borderId="1" xfId="4" applyNumberFormat="1" applyFont="1" applyBorder="1" applyAlignment="1">
      <alignment vertical="center" wrapText="1"/>
    </xf>
    <xf numFmtId="166" fontId="0" fillId="0" borderId="1" xfId="4" applyNumberFormat="1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20" fillId="0" borderId="1" xfId="0" applyFont="1" applyBorder="1" applyAlignment="1">
      <alignment vertical="center" wrapText="1"/>
    </xf>
    <xf numFmtId="9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9" fontId="15" fillId="0" borderId="1" xfId="0" applyNumberFormat="1" applyFont="1" applyBorder="1" applyAlignment="1">
      <alignment horizontal="center" vertical="center"/>
    </xf>
    <xf numFmtId="10" fontId="2" fillId="6" borderId="1" xfId="0" applyNumberFormat="1" applyFont="1" applyFill="1" applyBorder="1" applyAlignment="1">
      <alignment horizontal="center" vertical="center"/>
    </xf>
    <xf numFmtId="9" fontId="2" fillId="2" borderId="1" xfId="0" applyNumberFormat="1" applyFont="1" applyFill="1" applyBorder="1" applyAlignment="1">
      <alignment horizontal="center" vertical="center"/>
    </xf>
    <xf numFmtId="9" fontId="21" fillId="6" borderId="1" xfId="0" applyNumberFormat="1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165" fontId="2" fillId="6" borderId="1" xfId="0" applyNumberFormat="1" applyFont="1" applyFill="1" applyBorder="1" applyAlignment="1">
      <alignment horizontal="center" vertical="center"/>
    </xf>
    <xf numFmtId="9" fontId="15" fillId="0" borderId="1" xfId="0" applyNumberFormat="1" applyFont="1" applyBorder="1" applyAlignment="1">
      <alignment horizontal="center" vertical="center" wrapText="1"/>
    </xf>
    <xf numFmtId="9" fontId="21" fillId="0" borderId="1" xfId="0" applyNumberFormat="1" applyFont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9" fontId="2" fillId="6" borderId="1" xfId="0" applyNumberFormat="1" applyFont="1" applyFill="1" applyBorder="1" applyAlignment="1">
      <alignment horizontal="center" vertical="center" wrapText="1"/>
    </xf>
    <xf numFmtId="9" fontId="2" fillId="6" borderId="1" xfId="0" applyNumberFormat="1" applyFont="1" applyFill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165" fontId="24" fillId="0" borderId="1" xfId="0" applyNumberFormat="1" applyFont="1" applyBorder="1" applyAlignment="1">
      <alignment horizontal="center" vertical="center"/>
    </xf>
    <xf numFmtId="10" fontId="24" fillId="0" borderId="1" xfId="0" applyNumberFormat="1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</cellXfs>
  <cellStyles count="5">
    <cellStyle name="Comma" xfId="4" builtinId="3"/>
    <cellStyle name="Comma 2" xfId="2" xr:uid="{958F641B-F2FB-4B5A-A3BF-0A43E8D928E5}"/>
    <cellStyle name="Comma 2 2" xfId="3" xr:uid="{A87EB5BC-DE99-4E1F-B407-29503EC7C3A7}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B5920-1F46-4F81-A725-8B764C8CF362}">
  <sheetPr>
    <pageSetUpPr fitToPage="1"/>
  </sheetPr>
  <dimension ref="A1:L74"/>
  <sheetViews>
    <sheetView tabSelected="1" topLeftCell="A55" zoomScale="85" zoomScaleNormal="85" workbookViewId="0">
      <selection activeCell="I68" sqref="I68"/>
    </sheetView>
  </sheetViews>
  <sheetFormatPr defaultRowHeight="15" x14ac:dyDescent="0.25"/>
  <cols>
    <col min="1" max="1" width="3.5703125" style="60" customWidth="1"/>
    <col min="2" max="2" width="51.5703125" style="60" customWidth="1"/>
    <col min="3" max="3" width="11.85546875" style="60" customWidth="1"/>
    <col min="4" max="4" width="12.140625" style="66" customWidth="1"/>
    <col min="5" max="5" width="14.85546875" style="66" customWidth="1"/>
    <col min="6" max="6" width="10.42578125" style="66" customWidth="1"/>
    <col min="7" max="7" width="12.5703125" style="66" customWidth="1"/>
    <col min="8" max="8" width="15" style="66" customWidth="1"/>
    <col min="9" max="9" width="15" style="60" customWidth="1"/>
    <col min="10" max="10" width="11.7109375" style="60" customWidth="1"/>
    <col min="11" max="11" width="21.5703125" style="60" customWidth="1"/>
    <col min="12" max="12" width="43.85546875" style="60" customWidth="1"/>
    <col min="13" max="16384" width="9.140625" style="60"/>
  </cols>
  <sheetData>
    <row r="1" spans="1:12" ht="23.25" customHeight="1" x14ac:dyDescent="0.25"/>
    <row r="2" spans="1:12" ht="15" customHeight="1" x14ac:dyDescent="0.25"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</row>
    <row r="4" spans="1:12" x14ac:dyDescent="0.25">
      <c r="B4" s="95" t="s">
        <v>0</v>
      </c>
      <c r="C4" s="103">
        <v>2024</v>
      </c>
      <c r="D4" s="97">
        <v>2025</v>
      </c>
      <c r="E4" s="97"/>
      <c r="F4" s="100">
        <v>2026</v>
      </c>
      <c r="G4" s="101"/>
      <c r="H4" s="101"/>
      <c r="I4" s="102"/>
      <c r="J4" s="98">
        <v>2027</v>
      </c>
      <c r="K4" s="98"/>
      <c r="L4" s="98"/>
    </row>
    <row r="5" spans="1:12" x14ac:dyDescent="0.25">
      <c r="B5" s="96"/>
      <c r="C5" s="104"/>
      <c r="D5" s="18" t="s">
        <v>1</v>
      </c>
      <c r="E5" s="18" t="s">
        <v>2</v>
      </c>
      <c r="F5" s="36" t="s">
        <v>1</v>
      </c>
      <c r="G5" s="18" t="s">
        <v>37</v>
      </c>
      <c r="H5" s="18" t="s">
        <v>50</v>
      </c>
      <c r="I5" s="18" t="s">
        <v>70</v>
      </c>
      <c r="J5" s="35" t="s">
        <v>1</v>
      </c>
      <c r="K5" s="35" t="s">
        <v>37</v>
      </c>
      <c r="L5" s="35" t="s">
        <v>38</v>
      </c>
    </row>
    <row r="6" spans="1:12" ht="15.75" x14ac:dyDescent="0.25">
      <c r="B6" s="5" t="s">
        <v>3</v>
      </c>
      <c r="C6" s="5"/>
      <c r="D6" s="68"/>
      <c r="F6" s="68"/>
      <c r="G6" s="68"/>
      <c r="J6" s="1"/>
      <c r="K6" s="1"/>
    </row>
    <row r="7" spans="1:12" x14ac:dyDescent="0.25">
      <c r="A7" s="60">
        <v>3</v>
      </c>
      <c r="B7" s="11" t="s">
        <v>4</v>
      </c>
      <c r="C7" s="11"/>
      <c r="D7" s="9">
        <v>0.17</v>
      </c>
      <c r="E7" s="47">
        <v>0.1414</v>
      </c>
      <c r="F7" s="37">
        <v>0.17</v>
      </c>
      <c r="G7" s="30">
        <v>0.14929999999999999</v>
      </c>
      <c r="H7" s="30">
        <v>9.6100000000000005E-2</v>
      </c>
      <c r="I7" s="71">
        <v>0.1111</v>
      </c>
      <c r="J7" s="10">
        <v>0.17</v>
      </c>
      <c r="K7" s="49">
        <v>0.15</v>
      </c>
      <c r="L7" s="51" t="s">
        <v>63</v>
      </c>
    </row>
    <row r="8" spans="1:12" s="61" customFormat="1" hidden="1" x14ac:dyDescent="0.25">
      <c r="B8" s="15"/>
      <c r="C8" s="15"/>
      <c r="D8" s="16"/>
      <c r="E8" s="48"/>
      <c r="F8" s="38" t="s">
        <v>51</v>
      </c>
      <c r="G8" s="34">
        <v>0.13500000000000001</v>
      </c>
      <c r="H8" s="16"/>
      <c r="I8" s="16"/>
      <c r="J8" s="17"/>
      <c r="K8" s="17"/>
      <c r="L8" s="52"/>
    </row>
    <row r="9" spans="1:12" s="61" customFormat="1" x14ac:dyDescent="0.25">
      <c r="B9" s="15"/>
      <c r="C9" s="15"/>
      <c r="D9" s="16"/>
      <c r="E9" s="48"/>
      <c r="F9" s="38"/>
      <c r="G9" s="34"/>
      <c r="H9" s="16"/>
      <c r="I9" s="16"/>
      <c r="J9" s="17"/>
      <c r="K9" s="17"/>
      <c r="L9" s="52"/>
    </row>
    <row r="10" spans="1:12" ht="15.75" x14ac:dyDescent="0.25">
      <c r="B10" s="19" t="s">
        <v>6</v>
      </c>
      <c r="C10" s="19"/>
      <c r="D10" s="9"/>
      <c r="E10" s="64"/>
      <c r="F10" s="37"/>
      <c r="G10" s="9"/>
      <c r="H10" s="67"/>
      <c r="I10" s="62"/>
      <c r="J10" s="9"/>
      <c r="K10" s="9"/>
      <c r="L10" s="53"/>
    </row>
    <row r="11" spans="1:12" s="85" customFormat="1" ht="43.5" customHeight="1" x14ac:dyDescent="0.25">
      <c r="A11" s="76">
        <v>1</v>
      </c>
      <c r="B11" s="77" t="s">
        <v>18</v>
      </c>
      <c r="C11" s="77"/>
      <c r="D11" s="78">
        <v>0.04</v>
      </c>
      <c r="E11" s="79">
        <v>0.1082</v>
      </c>
      <c r="F11" s="80">
        <v>0.04</v>
      </c>
      <c r="G11" s="78">
        <v>0.04</v>
      </c>
      <c r="H11" s="79">
        <v>2.8199999999999999E-2</v>
      </c>
      <c r="I11" s="81">
        <v>3.7999999999999999E-2</v>
      </c>
      <c r="J11" s="82">
        <v>0.04</v>
      </c>
      <c r="K11" s="86">
        <v>5.5E-2</v>
      </c>
      <c r="L11" s="84" t="s">
        <v>64</v>
      </c>
    </row>
    <row r="12" spans="1:12" x14ac:dyDescent="0.25">
      <c r="A12" s="63"/>
      <c r="B12" s="13" t="s">
        <v>73</v>
      </c>
      <c r="C12" s="74">
        <v>109945</v>
      </c>
      <c r="D12" s="75">
        <v>113980</v>
      </c>
      <c r="E12" s="24">
        <v>3.6700000000000003E-2</v>
      </c>
      <c r="F12" s="39"/>
      <c r="G12" s="20"/>
      <c r="H12" s="24"/>
      <c r="I12" s="72">
        <v>3.4599999999999999E-2</v>
      </c>
      <c r="J12" s="25"/>
      <c r="K12" s="55"/>
      <c r="L12" s="51"/>
    </row>
    <row r="13" spans="1:12" x14ac:dyDescent="0.25">
      <c r="A13" s="63"/>
      <c r="B13" s="13" t="s">
        <v>74</v>
      </c>
      <c r="C13" s="74">
        <v>1191</v>
      </c>
      <c r="D13" s="75">
        <v>1405</v>
      </c>
      <c r="E13" s="24">
        <v>0.1797</v>
      </c>
      <c r="F13" s="39"/>
      <c r="G13" s="20"/>
      <c r="H13" s="24"/>
      <c r="I13" s="72">
        <v>4.1500000000000002E-2</v>
      </c>
      <c r="J13" s="25"/>
      <c r="K13" s="55"/>
      <c r="L13" s="51"/>
    </row>
    <row r="14" spans="1:12" s="85" customFormat="1" ht="24" x14ac:dyDescent="0.25">
      <c r="A14" s="76">
        <v>2</v>
      </c>
      <c r="B14" s="77" t="s">
        <v>19</v>
      </c>
      <c r="C14" s="77"/>
      <c r="D14" s="78">
        <v>0.06</v>
      </c>
      <c r="E14" s="79">
        <v>7.9600000000000004E-2</v>
      </c>
      <c r="F14" s="87">
        <v>0.06</v>
      </c>
      <c r="G14" s="88">
        <v>0.06</v>
      </c>
      <c r="H14" s="79">
        <v>2.7400000000000001E-2</v>
      </c>
      <c r="I14" s="81">
        <v>5.5199999999999999E-2</v>
      </c>
      <c r="J14" s="89">
        <v>0.06</v>
      </c>
      <c r="K14" s="90">
        <v>0.06</v>
      </c>
      <c r="L14" s="84" t="s">
        <v>62</v>
      </c>
    </row>
    <row r="15" spans="1:12" x14ac:dyDescent="0.25">
      <c r="A15" s="63"/>
      <c r="B15" s="13" t="s">
        <v>75</v>
      </c>
      <c r="C15" s="13">
        <v>201</v>
      </c>
      <c r="D15" s="75">
        <v>217</v>
      </c>
      <c r="E15" s="24">
        <f>((D15-C15)/C15)</f>
        <v>7.9601990049751242E-2</v>
      </c>
      <c r="F15" s="40"/>
      <c r="G15" s="21"/>
      <c r="H15" s="24"/>
      <c r="I15" s="64">
        <v>153</v>
      </c>
      <c r="J15" s="10"/>
      <c r="K15" s="49"/>
      <c r="L15" s="51"/>
    </row>
    <row r="16" spans="1:12" s="85" customFormat="1" ht="45" x14ac:dyDescent="0.25">
      <c r="A16" s="76">
        <v>3</v>
      </c>
      <c r="B16" s="77" t="s">
        <v>20</v>
      </c>
      <c r="C16" s="77"/>
      <c r="D16" s="78">
        <v>0.78</v>
      </c>
      <c r="E16" s="79">
        <v>0.80579999999999996</v>
      </c>
      <c r="F16" s="80">
        <v>0.8</v>
      </c>
      <c r="G16" s="78">
        <v>0.82</v>
      </c>
      <c r="H16" s="79">
        <v>0.77900000000000003</v>
      </c>
      <c r="I16" s="81">
        <v>0.81520000000000004</v>
      </c>
      <c r="J16" s="82">
        <v>0.82</v>
      </c>
      <c r="K16" s="83">
        <v>0.82</v>
      </c>
      <c r="L16" s="84" t="s">
        <v>61</v>
      </c>
    </row>
    <row r="17" spans="1:12" x14ac:dyDescent="0.25">
      <c r="A17" s="63"/>
      <c r="B17" s="92" t="s">
        <v>76</v>
      </c>
      <c r="C17" s="13"/>
      <c r="D17" s="20"/>
      <c r="E17" s="93">
        <f>E19/E18</f>
        <v>0.97752808988764039</v>
      </c>
      <c r="F17" s="39"/>
      <c r="G17" s="20"/>
      <c r="H17" s="93">
        <f>H19/H18</f>
        <v>0.98888888888888893</v>
      </c>
      <c r="I17" s="93">
        <f>I19/I18</f>
        <v>0.89130434782608692</v>
      </c>
      <c r="J17" s="25"/>
      <c r="K17" s="59"/>
      <c r="L17" s="51"/>
    </row>
    <row r="18" spans="1:12" x14ac:dyDescent="0.25">
      <c r="A18" s="63"/>
      <c r="B18" s="13" t="s">
        <v>82</v>
      </c>
      <c r="C18" s="13"/>
      <c r="D18" s="20"/>
      <c r="E18" s="64">
        <v>89</v>
      </c>
      <c r="F18" s="39"/>
      <c r="G18" s="20"/>
      <c r="H18" s="64">
        <v>90</v>
      </c>
      <c r="I18" s="64">
        <v>92</v>
      </c>
      <c r="J18" s="25"/>
      <c r="K18" s="59"/>
      <c r="L18" s="51"/>
    </row>
    <row r="19" spans="1:12" x14ac:dyDescent="0.25">
      <c r="A19" s="63"/>
      <c r="B19" s="13" t="s">
        <v>83</v>
      </c>
      <c r="C19" s="13"/>
      <c r="D19" s="20"/>
      <c r="E19" s="64">
        <v>87</v>
      </c>
      <c r="F19" s="39"/>
      <c r="G19" s="20"/>
      <c r="H19" s="64">
        <v>89</v>
      </c>
      <c r="I19" s="64">
        <v>82</v>
      </c>
      <c r="J19" s="25"/>
      <c r="K19" s="59"/>
      <c r="L19" s="51"/>
    </row>
    <row r="20" spans="1:12" x14ac:dyDescent="0.25">
      <c r="A20" s="63"/>
      <c r="B20" s="92" t="s">
        <v>77</v>
      </c>
      <c r="C20" s="13"/>
      <c r="D20" s="20"/>
      <c r="E20" s="93">
        <f>E22/E21</f>
        <v>0.78947368421052633</v>
      </c>
      <c r="F20" s="39"/>
      <c r="G20" s="20"/>
      <c r="H20" s="93">
        <f>H22/H21</f>
        <v>0.7931034482758621</v>
      </c>
      <c r="I20" s="93">
        <f>I22/I21</f>
        <v>0.9152542372881356</v>
      </c>
      <c r="J20" s="25"/>
      <c r="K20" s="59"/>
      <c r="L20" s="51"/>
    </row>
    <row r="21" spans="1:12" x14ac:dyDescent="0.25">
      <c r="A21" s="63"/>
      <c r="B21" s="13" t="s">
        <v>82</v>
      </c>
      <c r="C21" s="13"/>
      <c r="D21" s="20"/>
      <c r="E21" s="64">
        <v>57</v>
      </c>
      <c r="F21" s="39"/>
      <c r="G21" s="20"/>
      <c r="H21" s="64">
        <v>58</v>
      </c>
      <c r="I21" s="64">
        <v>59</v>
      </c>
      <c r="J21" s="25"/>
      <c r="K21" s="59"/>
      <c r="L21" s="51"/>
    </row>
    <row r="22" spans="1:12" x14ac:dyDescent="0.25">
      <c r="A22" s="63"/>
      <c r="B22" s="13" t="s">
        <v>83</v>
      </c>
      <c r="C22" s="13"/>
      <c r="D22" s="20"/>
      <c r="E22" s="64">
        <v>45</v>
      </c>
      <c r="F22" s="39"/>
      <c r="G22" s="20"/>
      <c r="H22" s="64">
        <v>46</v>
      </c>
      <c r="I22" s="64">
        <v>54</v>
      </c>
      <c r="J22" s="25"/>
      <c r="K22" s="59"/>
      <c r="L22" s="51"/>
    </row>
    <row r="23" spans="1:12" x14ac:dyDescent="0.25">
      <c r="A23" s="63"/>
      <c r="B23" s="92" t="s">
        <v>78</v>
      </c>
      <c r="C23" s="13"/>
      <c r="D23" s="20"/>
      <c r="E23" s="94">
        <f>E25/E24</f>
        <v>0.5</v>
      </c>
      <c r="F23" s="39"/>
      <c r="G23" s="20"/>
      <c r="H23" s="94">
        <f>H25/H24</f>
        <v>0.5</v>
      </c>
      <c r="I23" s="94">
        <f>I25/I24</f>
        <v>0.5</v>
      </c>
      <c r="J23" s="25"/>
      <c r="K23" s="59"/>
      <c r="L23" s="51"/>
    </row>
    <row r="24" spans="1:12" x14ac:dyDescent="0.25">
      <c r="A24" s="63"/>
      <c r="B24" s="13" t="s">
        <v>82</v>
      </c>
      <c r="C24" s="13"/>
      <c r="D24" s="20"/>
      <c r="E24" s="64">
        <v>4</v>
      </c>
      <c r="F24" s="39"/>
      <c r="G24" s="20"/>
      <c r="H24" s="64">
        <v>8</v>
      </c>
      <c r="I24" s="64">
        <v>8</v>
      </c>
      <c r="J24" s="25"/>
      <c r="K24" s="59"/>
      <c r="L24" s="51"/>
    </row>
    <row r="25" spans="1:12" x14ac:dyDescent="0.25">
      <c r="A25" s="63"/>
      <c r="B25" s="13" t="s">
        <v>83</v>
      </c>
      <c r="C25" s="13"/>
      <c r="D25" s="20"/>
      <c r="E25" s="64">
        <v>2</v>
      </c>
      <c r="F25" s="39"/>
      <c r="G25" s="20"/>
      <c r="H25" s="64">
        <v>4</v>
      </c>
      <c r="I25" s="64">
        <v>4</v>
      </c>
      <c r="J25" s="25"/>
      <c r="K25" s="59"/>
      <c r="L25" s="51"/>
    </row>
    <row r="26" spans="1:12" ht="24" x14ac:dyDescent="0.25">
      <c r="A26" s="63"/>
      <c r="B26" s="92" t="s">
        <v>79</v>
      </c>
      <c r="C26" s="13"/>
      <c r="D26" s="20"/>
      <c r="E26" s="94">
        <f>E30/E27</f>
        <v>0.96610169491525422</v>
      </c>
      <c r="F26" s="39"/>
      <c r="G26" s="20"/>
      <c r="H26" s="94">
        <f>H30/H27</f>
        <v>1</v>
      </c>
      <c r="I26" s="94">
        <f>I30/I27</f>
        <v>1</v>
      </c>
      <c r="J26" s="25"/>
      <c r="K26" s="59"/>
      <c r="L26" s="51"/>
    </row>
    <row r="27" spans="1:12" x14ac:dyDescent="0.25">
      <c r="A27" s="63"/>
      <c r="B27" s="13" t="s">
        <v>84</v>
      </c>
      <c r="C27" s="13"/>
      <c r="D27" s="20"/>
      <c r="E27" s="64">
        <f>SUM(E28:E29)</f>
        <v>118</v>
      </c>
      <c r="F27" s="39"/>
      <c r="G27" s="20"/>
      <c r="H27" s="64">
        <f>SUM(H28:H29)</f>
        <v>29</v>
      </c>
      <c r="I27" s="64">
        <f>SUM(I28:I29)</f>
        <v>126</v>
      </c>
      <c r="J27" s="25"/>
      <c r="K27" s="59"/>
      <c r="L27" s="51"/>
    </row>
    <row r="28" spans="1:12" x14ac:dyDescent="0.25">
      <c r="A28" s="63"/>
      <c r="B28" s="13" t="s">
        <v>86</v>
      </c>
      <c r="C28" s="13"/>
      <c r="D28" s="20"/>
      <c r="E28" s="64">
        <v>77</v>
      </c>
      <c r="F28" s="39"/>
      <c r="G28" s="20"/>
      <c r="H28" s="64">
        <v>21</v>
      </c>
      <c r="I28" s="64">
        <v>113</v>
      </c>
      <c r="J28" s="25"/>
      <c r="K28" s="59"/>
      <c r="L28" s="51"/>
    </row>
    <row r="29" spans="1:12" x14ac:dyDescent="0.25">
      <c r="A29" s="63"/>
      <c r="B29" s="13" t="s">
        <v>87</v>
      </c>
      <c r="C29" s="13"/>
      <c r="D29" s="20"/>
      <c r="E29" s="64">
        <v>41</v>
      </c>
      <c r="F29" s="39"/>
      <c r="G29" s="20"/>
      <c r="H29" s="64">
        <v>8</v>
      </c>
      <c r="I29" s="64">
        <v>13</v>
      </c>
      <c r="J29" s="25"/>
      <c r="K29" s="59"/>
      <c r="L29" s="51"/>
    </row>
    <row r="30" spans="1:12" x14ac:dyDescent="0.25">
      <c r="A30" s="63"/>
      <c r="B30" s="13" t="s">
        <v>85</v>
      </c>
      <c r="C30" s="13"/>
      <c r="D30" s="20"/>
      <c r="E30" s="64">
        <f>SUM(E31:E32)</f>
        <v>114</v>
      </c>
      <c r="F30" s="39"/>
      <c r="G30" s="20"/>
      <c r="H30" s="64">
        <f>SUM(H31:H32)</f>
        <v>29</v>
      </c>
      <c r="I30" s="64">
        <f>SUM(I31:I32)</f>
        <v>126</v>
      </c>
      <c r="J30" s="25"/>
      <c r="K30" s="59"/>
      <c r="L30" s="51"/>
    </row>
    <row r="31" spans="1:12" x14ac:dyDescent="0.25">
      <c r="A31" s="63"/>
      <c r="B31" s="13" t="s">
        <v>86</v>
      </c>
      <c r="C31" s="13"/>
      <c r="D31" s="20"/>
      <c r="E31" s="64">
        <v>77</v>
      </c>
      <c r="F31" s="39"/>
      <c r="G31" s="20"/>
      <c r="H31" s="64">
        <v>21</v>
      </c>
      <c r="I31" s="64">
        <v>113</v>
      </c>
      <c r="J31" s="25"/>
      <c r="K31" s="59"/>
      <c r="L31" s="51"/>
    </row>
    <row r="32" spans="1:12" x14ac:dyDescent="0.25">
      <c r="A32" s="63"/>
      <c r="B32" s="13" t="s">
        <v>87</v>
      </c>
      <c r="C32" s="13"/>
      <c r="D32" s="20"/>
      <c r="E32" s="64">
        <v>37</v>
      </c>
      <c r="F32" s="39"/>
      <c r="G32" s="20"/>
      <c r="H32" s="64">
        <v>8</v>
      </c>
      <c r="I32" s="64">
        <v>13</v>
      </c>
      <c r="J32" s="25"/>
      <c r="K32" s="59"/>
      <c r="L32" s="51"/>
    </row>
    <row r="33" spans="1:12" ht="24" x14ac:dyDescent="0.25">
      <c r="A33" s="63"/>
      <c r="B33" s="92" t="s">
        <v>80</v>
      </c>
      <c r="C33" s="13"/>
      <c r="D33" s="20"/>
      <c r="E33" s="94">
        <f>E38/E34</f>
        <v>0.65384615384615385</v>
      </c>
      <c r="F33" s="39"/>
      <c r="G33" s="20"/>
      <c r="H33" s="94">
        <f>H38/H34</f>
        <v>0.70422535211267601</v>
      </c>
      <c r="I33" s="94">
        <f>I38/I34</f>
        <v>0.53296703296703296</v>
      </c>
      <c r="J33" s="25"/>
      <c r="K33" s="59"/>
      <c r="L33" s="51"/>
    </row>
    <row r="34" spans="1:12" x14ac:dyDescent="0.25">
      <c r="A34" s="63"/>
      <c r="B34" s="13" t="s">
        <v>84</v>
      </c>
      <c r="C34" s="13"/>
      <c r="D34" s="20"/>
      <c r="E34" s="64">
        <f>SUM(E35:E37)</f>
        <v>156</v>
      </c>
      <c r="F34" s="39"/>
      <c r="G34" s="20"/>
      <c r="H34" s="64">
        <f>SUM(H35:H37)</f>
        <v>71</v>
      </c>
      <c r="I34" s="64">
        <f>SUM(I35:I37)</f>
        <v>182</v>
      </c>
      <c r="J34" s="25"/>
      <c r="K34" s="59"/>
      <c r="L34" s="51"/>
    </row>
    <row r="35" spans="1:12" x14ac:dyDescent="0.25">
      <c r="A35" s="63"/>
      <c r="B35" s="13" t="s">
        <v>88</v>
      </c>
      <c r="C35" s="13"/>
      <c r="D35" s="20"/>
      <c r="E35" s="64">
        <v>77</v>
      </c>
      <c r="F35" s="39"/>
      <c r="G35" s="20"/>
      <c r="H35" s="64">
        <v>36</v>
      </c>
      <c r="I35" s="64">
        <v>113</v>
      </c>
      <c r="J35" s="25"/>
      <c r="K35" s="59"/>
      <c r="L35" s="51"/>
    </row>
    <row r="36" spans="1:12" x14ac:dyDescent="0.25">
      <c r="A36" s="63"/>
      <c r="B36" s="13" t="s">
        <v>89</v>
      </c>
      <c r="C36" s="13"/>
      <c r="D36" s="20"/>
      <c r="E36" s="64">
        <v>8</v>
      </c>
      <c r="F36" s="39"/>
      <c r="G36" s="20"/>
      <c r="H36" s="64">
        <v>0</v>
      </c>
      <c r="I36" s="64">
        <v>1</v>
      </c>
      <c r="J36" s="25"/>
      <c r="K36" s="59"/>
      <c r="L36" s="51"/>
    </row>
    <row r="37" spans="1:12" x14ac:dyDescent="0.25">
      <c r="A37" s="63"/>
      <c r="B37" s="13" t="s">
        <v>90</v>
      </c>
      <c r="C37" s="13"/>
      <c r="D37" s="20"/>
      <c r="E37" s="64">
        <v>71</v>
      </c>
      <c r="F37" s="39"/>
      <c r="G37" s="20"/>
      <c r="H37" s="64">
        <v>35</v>
      </c>
      <c r="I37" s="64">
        <v>68</v>
      </c>
      <c r="J37" s="25"/>
      <c r="K37" s="59"/>
      <c r="L37" s="51"/>
    </row>
    <row r="38" spans="1:12" x14ac:dyDescent="0.25">
      <c r="A38" s="63"/>
      <c r="B38" s="13" t="s">
        <v>85</v>
      </c>
      <c r="C38" s="13"/>
      <c r="D38" s="20"/>
      <c r="E38" s="64">
        <f>SUM(E39:E41)</f>
        <v>102</v>
      </c>
      <c r="F38" s="39"/>
      <c r="G38" s="20"/>
      <c r="H38" s="64">
        <f>SUM(H39:H41)</f>
        <v>50</v>
      </c>
      <c r="I38" s="64">
        <f>SUM(I39:I41)</f>
        <v>97</v>
      </c>
      <c r="J38" s="25"/>
      <c r="K38" s="59"/>
      <c r="L38" s="51"/>
    </row>
    <row r="39" spans="1:12" x14ac:dyDescent="0.25">
      <c r="A39" s="63"/>
      <c r="B39" s="13" t="s">
        <v>88</v>
      </c>
      <c r="C39" s="13"/>
      <c r="D39" s="20"/>
      <c r="E39" s="64">
        <v>23</v>
      </c>
      <c r="F39" s="39"/>
      <c r="G39" s="20"/>
      <c r="H39" s="64">
        <v>15</v>
      </c>
      <c r="I39" s="64">
        <v>28</v>
      </c>
      <c r="J39" s="25"/>
      <c r="K39" s="59"/>
      <c r="L39" s="51"/>
    </row>
    <row r="40" spans="1:12" x14ac:dyDescent="0.25">
      <c r="A40" s="63"/>
      <c r="B40" s="13" t="s">
        <v>89</v>
      </c>
      <c r="C40" s="13"/>
      <c r="D40" s="20"/>
      <c r="E40" s="64">
        <v>8</v>
      </c>
      <c r="F40" s="39"/>
      <c r="G40" s="20"/>
      <c r="H40" s="64">
        <v>0</v>
      </c>
      <c r="I40" s="64">
        <v>1</v>
      </c>
      <c r="J40" s="25"/>
      <c r="K40" s="59"/>
      <c r="L40" s="51"/>
    </row>
    <row r="41" spans="1:12" x14ac:dyDescent="0.25">
      <c r="A41" s="63"/>
      <c r="B41" s="13" t="s">
        <v>90</v>
      </c>
      <c r="C41" s="13"/>
      <c r="D41" s="20"/>
      <c r="E41" s="64">
        <v>71</v>
      </c>
      <c r="F41" s="39"/>
      <c r="G41" s="20"/>
      <c r="H41" s="64">
        <v>35</v>
      </c>
      <c r="I41" s="64">
        <v>68</v>
      </c>
      <c r="J41" s="25"/>
      <c r="K41" s="59"/>
      <c r="L41" s="51"/>
    </row>
    <row r="42" spans="1:12" ht="24" x14ac:dyDescent="0.25">
      <c r="A42" s="63"/>
      <c r="B42" s="92" t="s">
        <v>81</v>
      </c>
      <c r="C42" s="13"/>
      <c r="D42" s="20"/>
      <c r="E42" s="94">
        <v>0.996</v>
      </c>
      <c r="F42" s="39"/>
      <c r="G42" s="20"/>
      <c r="H42" s="94">
        <v>1</v>
      </c>
      <c r="I42" s="94">
        <v>1</v>
      </c>
      <c r="J42" s="25"/>
      <c r="K42" s="59"/>
      <c r="L42" s="51"/>
    </row>
    <row r="43" spans="1:12" s="85" customFormat="1" ht="24" x14ac:dyDescent="0.25">
      <c r="A43" s="76">
        <v>4</v>
      </c>
      <c r="B43" s="77" t="s">
        <v>21</v>
      </c>
      <c r="C43" s="77"/>
      <c r="D43" s="78" t="s">
        <v>7</v>
      </c>
      <c r="E43" s="79" t="s">
        <v>71</v>
      </c>
      <c r="F43" s="80" t="s">
        <v>9</v>
      </c>
      <c r="G43" s="78" t="s">
        <v>44</v>
      </c>
      <c r="H43" s="78" t="s">
        <v>48</v>
      </c>
      <c r="I43" s="78" t="s">
        <v>48</v>
      </c>
      <c r="J43" s="82" t="s">
        <v>8</v>
      </c>
      <c r="K43" s="91" t="s">
        <v>47</v>
      </c>
      <c r="L43" s="84" t="s">
        <v>63</v>
      </c>
    </row>
    <row r="44" spans="1:12" ht="15.75" x14ac:dyDescent="0.25">
      <c r="A44" s="63"/>
      <c r="B44" s="12" t="s">
        <v>13</v>
      </c>
      <c r="C44" s="12"/>
      <c r="D44" s="64"/>
      <c r="E44" s="64"/>
      <c r="F44" s="69"/>
      <c r="G44" s="64"/>
      <c r="H44" s="64"/>
      <c r="I44" s="2"/>
      <c r="J44" s="2"/>
      <c r="K44" s="62"/>
      <c r="L44" s="53"/>
    </row>
    <row r="45" spans="1:12" ht="36" x14ac:dyDescent="0.25">
      <c r="A45" s="63">
        <v>1</v>
      </c>
      <c r="B45" s="13" t="s">
        <v>26</v>
      </c>
      <c r="C45" s="13"/>
      <c r="D45" s="3">
        <v>0.81</v>
      </c>
      <c r="E45" s="3">
        <v>0.81</v>
      </c>
      <c r="F45" s="40">
        <v>0.83</v>
      </c>
      <c r="G45" s="3">
        <v>0.83</v>
      </c>
      <c r="H45" s="3">
        <v>0.83</v>
      </c>
      <c r="I45" s="23">
        <v>0.84760000000000002</v>
      </c>
      <c r="J45" s="10">
        <v>0.85</v>
      </c>
      <c r="K45" s="49">
        <v>0.85</v>
      </c>
      <c r="L45" s="51" t="s">
        <v>65</v>
      </c>
    </row>
    <row r="46" spans="1:12" ht="36" x14ac:dyDescent="0.25">
      <c r="A46" s="63">
        <v>2</v>
      </c>
      <c r="B46" s="13" t="s">
        <v>27</v>
      </c>
      <c r="C46" s="13"/>
      <c r="D46" s="3">
        <v>0.75</v>
      </c>
      <c r="E46" s="3">
        <v>0.82</v>
      </c>
      <c r="F46" s="40">
        <v>0.77</v>
      </c>
      <c r="G46" s="3">
        <v>0.77</v>
      </c>
      <c r="H46" s="3">
        <v>0.74</v>
      </c>
      <c r="I46" s="23">
        <v>0.76649999999999996</v>
      </c>
      <c r="J46" s="10">
        <v>0.79</v>
      </c>
      <c r="K46" s="49">
        <v>0.79</v>
      </c>
      <c r="L46" s="51" t="s">
        <v>66</v>
      </c>
    </row>
    <row r="47" spans="1:12" ht="15.75" x14ac:dyDescent="0.25">
      <c r="A47" s="63"/>
      <c r="B47" s="12" t="s">
        <v>12</v>
      </c>
      <c r="C47" s="12"/>
      <c r="D47" s="64"/>
      <c r="E47" s="64"/>
      <c r="F47" s="69"/>
      <c r="G47" s="64"/>
      <c r="H47" s="64"/>
      <c r="I47" s="2"/>
      <c r="J47" s="2"/>
      <c r="K47" s="2"/>
      <c r="L47" s="54"/>
    </row>
    <row r="48" spans="1:12" x14ac:dyDescent="0.25">
      <c r="A48" s="63">
        <v>1</v>
      </c>
      <c r="B48" s="13" t="s">
        <v>39</v>
      </c>
      <c r="C48" s="13"/>
      <c r="D48" s="3">
        <v>0.05</v>
      </c>
      <c r="E48" s="23">
        <v>5.74E-2</v>
      </c>
      <c r="F48" s="40">
        <v>0.05</v>
      </c>
      <c r="G48" s="3">
        <v>0.05</v>
      </c>
      <c r="H48" s="23">
        <v>3.1E-2</v>
      </c>
      <c r="I48" s="23">
        <v>6.9699999999999998E-2</v>
      </c>
      <c r="J48" s="10">
        <v>0.05</v>
      </c>
      <c r="K48" s="49">
        <v>0.05</v>
      </c>
      <c r="L48" s="51"/>
    </row>
    <row r="49" spans="1:12" ht="30" x14ac:dyDescent="0.25">
      <c r="A49" s="63">
        <v>2</v>
      </c>
      <c r="B49" s="13" t="s">
        <v>31</v>
      </c>
      <c r="C49" s="13"/>
      <c r="D49" s="3" t="s">
        <v>17</v>
      </c>
      <c r="E49" s="8" t="s">
        <v>43</v>
      </c>
      <c r="F49" s="40">
        <v>0.05</v>
      </c>
      <c r="G49" s="3">
        <v>0.05</v>
      </c>
      <c r="H49" s="23">
        <v>2.5000000000000001E-2</v>
      </c>
      <c r="I49" s="23">
        <v>4.1500000000000002E-2</v>
      </c>
      <c r="J49" s="10">
        <v>0.05</v>
      </c>
      <c r="K49" s="49">
        <v>0.05</v>
      </c>
      <c r="L49" s="51"/>
    </row>
    <row r="50" spans="1:12" ht="36" x14ac:dyDescent="0.25">
      <c r="A50" s="63">
        <v>3</v>
      </c>
      <c r="B50" s="13" t="s">
        <v>41</v>
      </c>
      <c r="C50" s="13"/>
      <c r="D50" s="4">
        <v>0.9</v>
      </c>
      <c r="E50" s="24">
        <v>0.90029999999999999</v>
      </c>
      <c r="F50" s="46">
        <v>0.9</v>
      </c>
      <c r="G50" s="4">
        <v>0.9</v>
      </c>
      <c r="H50" s="23">
        <v>0.90200000000000002</v>
      </c>
      <c r="I50" s="105">
        <v>0.88600000000000001</v>
      </c>
      <c r="J50" s="10">
        <v>0.9</v>
      </c>
      <c r="K50" s="49">
        <v>0.9</v>
      </c>
      <c r="L50" s="51"/>
    </row>
    <row r="51" spans="1:12" ht="24" x14ac:dyDescent="0.25">
      <c r="A51" s="63">
        <v>4</v>
      </c>
      <c r="B51" s="13" t="s">
        <v>42</v>
      </c>
      <c r="C51" s="13"/>
      <c r="D51" s="6">
        <v>86</v>
      </c>
      <c r="E51" s="64">
        <v>90.69</v>
      </c>
      <c r="F51" s="45">
        <v>86</v>
      </c>
      <c r="G51" s="6">
        <v>86</v>
      </c>
      <c r="H51" s="106">
        <v>92.5</v>
      </c>
      <c r="I51" s="106">
        <v>92.5</v>
      </c>
      <c r="J51" s="28">
        <v>87</v>
      </c>
      <c r="K51" s="56">
        <v>92</v>
      </c>
      <c r="L51" s="51" t="s">
        <v>63</v>
      </c>
    </row>
    <row r="52" spans="1:12" ht="36" x14ac:dyDescent="0.25">
      <c r="A52" s="63">
        <v>5</v>
      </c>
      <c r="B52" s="13" t="s">
        <v>40</v>
      </c>
      <c r="C52" s="13"/>
      <c r="D52" s="3">
        <v>0.75</v>
      </c>
      <c r="E52" s="24">
        <v>0.83330000000000004</v>
      </c>
      <c r="F52" s="40">
        <v>0.75</v>
      </c>
      <c r="G52" s="3">
        <v>0.75</v>
      </c>
      <c r="H52" s="3">
        <v>0.5</v>
      </c>
      <c r="I52" s="23">
        <v>0.66669999999999996</v>
      </c>
      <c r="J52" s="10">
        <v>0.75</v>
      </c>
      <c r="K52" s="49">
        <v>0.75</v>
      </c>
      <c r="L52" s="51"/>
    </row>
    <row r="53" spans="1:12" ht="15.75" x14ac:dyDescent="0.25">
      <c r="A53" s="63"/>
      <c r="B53" s="12" t="s">
        <v>14</v>
      </c>
      <c r="C53" s="12"/>
      <c r="D53" s="64"/>
      <c r="E53" s="64"/>
      <c r="F53" s="69"/>
      <c r="G53" s="64"/>
      <c r="H53" s="64"/>
      <c r="I53" s="2"/>
      <c r="J53" s="2"/>
      <c r="K53" s="62"/>
      <c r="L53" s="53"/>
    </row>
    <row r="54" spans="1:12" ht="24" x14ac:dyDescent="0.25">
      <c r="A54" s="63">
        <v>1</v>
      </c>
      <c r="B54" s="13" t="s">
        <v>28</v>
      </c>
      <c r="C54" s="13"/>
      <c r="D54" s="8">
        <v>63</v>
      </c>
      <c r="E54" s="8">
        <v>70.180000000000007</v>
      </c>
      <c r="F54" s="44">
        <v>64</v>
      </c>
      <c r="G54" s="8">
        <v>71</v>
      </c>
      <c r="H54" s="8">
        <v>76.66</v>
      </c>
      <c r="I54" s="8">
        <v>76.66</v>
      </c>
      <c r="J54" s="29">
        <v>65</v>
      </c>
      <c r="K54" s="57">
        <v>77</v>
      </c>
      <c r="L54" s="51" t="s">
        <v>63</v>
      </c>
    </row>
    <row r="55" spans="1:12" ht="24" x14ac:dyDescent="0.25">
      <c r="A55" s="63">
        <v>2</v>
      </c>
      <c r="B55" s="13" t="s">
        <v>29</v>
      </c>
      <c r="C55" s="13"/>
      <c r="D55" s="3">
        <v>0.9</v>
      </c>
      <c r="E55" s="24">
        <v>0.90690000000000004</v>
      </c>
      <c r="F55" s="40">
        <v>0.91</v>
      </c>
      <c r="G55" s="3">
        <v>0.91</v>
      </c>
      <c r="H55" s="23">
        <v>0.875</v>
      </c>
      <c r="I55" s="23">
        <v>0.95779999999999998</v>
      </c>
      <c r="J55" s="10">
        <v>0.92</v>
      </c>
      <c r="K55" s="49">
        <v>0.92</v>
      </c>
      <c r="L55" s="51"/>
    </row>
    <row r="56" spans="1:12" ht="24" x14ac:dyDescent="0.25">
      <c r="A56" s="63">
        <v>3</v>
      </c>
      <c r="B56" s="13" t="s">
        <v>30</v>
      </c>
      <c r="C56" s="13"/>
      <c r="D56" s="8">
        <v>81</v>
      </c>
      <c r="E56" s="24">
        <v>0.94499999999999995</v>
      </c>
      <c r="F56" s="44">
        <v>83</v>
      </c>
      <c r="G56" s="8">
        <v>83</v>
      </c>
      <c r="H56" s="8">
        <v>92.21</v>
      </c>
      <c r="I56" s="8">
        <v>92.21</v>
      </c>
      <c r="J56" s="29">
        <v>85</v>
      </c>
      <c r="K56" s="57">
        <v>85</v>
      </c>
      <c r="L56" s="51"/>
    </row>
    <row r="57" spans="1:12" ht="15.75" x14ac:dyDescent="0.25">
      <c r="A57" s="63"/>
      <c r="B57" s="12" t="s">
        <v>11</v>
      </c>
      <c r="C57" s="12"/>
      <c r="D57" s="64"/>
      <c r="E57" s="64"/>
      <c r="F57" s="69"/>
      <c r="G57" s="64"/>
      <c r="H57" s="64"/>
      <c r="I57" s="2"/>
      <c r="J57" s="2"/>
      <c r="K57" s="62"/>
      <c r="L57" s="53"/>
    </row>
    <row r="58" spans="1:12" ht="24" x14ac:dyDescent="0.25">
      <c r="A58" s="63">
        <v>1</v>
      </c>
      <c r="B58" s="14" t="s">
        <v>33</v>
      </c>
      <c r="C58" s="14"/>
      <c r="D58" s="3">
        <v>0.75</v>
      </c>
      <c r="E58" s="24">
        <v>0.83330000000000004</v>
      </c>
      <c r="F58" s="40">
        <v>0.75</v>
      </c>
      <c r="G58" s="3">
        <v>0.85</v>
      </c>
      <c r="H58" s="3">
        <v>0</v>
      </c>
      <c r="I58" s="3">
        <v>0</v>
      </c>
      <c r="J58" s="10">
        <v>0.75</v>
      </c>
      <c r="K58" s="49">
        <v>0.8</v>
      </c>
      <c r="L58" s="51" t="s">
        <v>52</v>
      </c>
    </row>
    <row r="59" spans="1:12" ht="30" x14ac:dyDescent="0.25">
      <c r="A59" s="63">
        <v>2</v>
      </c>
      <c r="B59" s="14" t="s">
        <v>36</v>
      </c>
      <c r="C59" s="14"/>
      <c r="D59" s="3">
        <v>0.1</v>
      </c>
      <c r="E59" s="24">
        <v>0.10639999999999999</v>
      </c>
      <c r="F59" s="40">
        <v>0.11</v>
      </c>
      <c r="G59" s="3">
        <v>0.11</v>
      </c>
      <c r="H59" s="32">
        <v>0.11002000000000001</v>
      </c>
      <c r="I59" s="23">
        <v>0.13</v>
      </c>
      <c r="J59" s="10">
        <v>0.13</v>
      </c>
      <c r="K59" s="49">
        <v>0.09</v>
      </c>
      <c r="L59" s="51" t="s">
        <v>60</v>
      </c>
    </row>
    <row r="60" spans="1:12" ht="15.75" x14ac:dyDescent="0.25">
      <c r="A60" s="63">
        <v>3</v>
      </c>
      <c r="B60" s="14" t="s">
        <v>32</v>
      </c>
      <c r="C60" s="14"/>
      <c r="D60" s="4">
        <v>0.03</v>
      </c>
      <c r="E60" s="24">
        <v>3.6700000000000003E-2</v>
      </c>
      <c r="F60" s="46">
        <v>0.03</v>
      </c>
      <c r="G60" s="4">
        <v>0.04</v>
      </c>
      <c r="H60" s="33">
        <v>3.1399999999999997E-2</v>
      </c>
      <c r="I60" s="33">
        <v>3.4599999999999999E-2</v>
      </c>
      <c r="J60" s="10">
        <v>0.04</v>
      </c>
      <c r="K60" s="49">
        <v>0.06</v>
      </c>
      <c r="L60" s="51"/>
    </row>
    <row r="61" spans="1:12" ht="24" x14ac:dyDescent="0.25">
      <c r="A61" s="63">
        <v>4</v>
      </c>
      <c r="B61" s="14" t="s">
        <v>34</v>
      </c>
      <c r="C61" s="14"/>
      <c r="D61" s="7">
        <v>80</v>
      </c>
      <c r="E61" s="50">
        <v>0.92530000000000001</v>
      </c>
      <c r="F61" s="43">
        <v>82</v>
      </c>
      <c r="G61" s="7">
        <v>93</v>
      </c>
      <c r="H61" s="31">
        <v>93.04</v>
      </c>
      <c r="I61" s="31">
        <v>93.04</v>
      </c>
      <c r="J61" s="28">
        <v>84</v>
      </c>
      <c r="K61" s="49">
        <v>0.87</v>
      </c>
      <c r="L61" s="51" t="s">
        <v>52</v>
      </c>
    </row>
    <row r="62" spans="1:12" ht="24" x14ac:dyDescent="0.25">
      <c r="A62" s="63">
        <v>5</v>
      </c>
      <c r="B62" s="14" t="s">
        <v>35</v>
      </c>
      <c r="C62" s="14"/>
      <c r="D62" s="3">
        <v>0.8</v>
      </c>
      <c r="E62" s="20">
        <v>0.84</v>
      </c>
      <c r="F62" s="40">
        <v>0.82</v>
      </c>
      <c r="G62" s="3">
        <v>0.85</v>
      </c>
      <c r="H62" s="23">
        <v>0.96550000000000002</v>
      </c>
      <c r="I62" s="23">
        <v>0.96550000000000002</v>
      </c>
      <c r="J62" s="10">
        <v>0.84</v>
      </c>
      <c r="K62" s="49">
        <v>0.89</v>
      </c>
      <c r="L62" s="51" t="s">
        <v>52</v>
      </c>
    </row>
    <row r="63" spans="1:12" x14ac:dyDescent="0.25">
      <c r="E63" s="66" t="s">
        <v>57</v>
      </c>
      <c r="L63" s="65"/>
    </row>
    <row r="64" spans="1:12" ht="15.75" x14ac:dyDescent="0.25">
      <c r="A64" s="63"/>
      <c r="B64" s="19" t="s">
        <v>5</v>
      </c>
      <c r="C64" s="19"/>
      <c r="D64" s="64"/>
      <c r="E64" s="64"/>
      <c r="F64" s="69"/>
      <c r="G64" s="64"/>
      <c r="H64" s="64"/>
      <c r="I64" s="2"/>
      <c r="J64" s="2"/>
      <c r="K64" s="62"/>
      <c r="L64" s="53"/>
    </row>
    <row r="65" spans="1:12" ht="30" customHeight="1" x14ac:dyDescent="0.25">
      <c r="A65" s="63">
        <v>5</v>
      </c>
      <c r="B65" s="13" t="s">
        <v>59</v>
      </c>
      <c r="C65" s="13"/>
      <c r="D65" s="23" t="s">
        <v>10</v>
      </c>
      <c r="E65" s="23" t="s">
        <v>72</v>
      </c>
      <c r="F65" s="42" t="s">
        <v>10</v>
      </c>
      <c r="G65" s="22" t="s">
        <v>45</v>
      </c>
      <c r="H65" s="22" t="s">
        <v>49</v>
      </c>
      <c r="I65" s="22">
        <v>82.71</v>
      </c>
      <c r="J65" s="26" t="s">
        <v>53</v>
      </c>
      <c r="K65" s="58" t="s">
        <v>53</v>
      </c>
      <c r="L65" s="51" t="s">
        <v>67</v>
      </c>
    </row>
    <row r="66" spans="1:12" ht="24" x14ac:dyDescent="0.25">
      <c r="A66" s="63">
        <v>6</v>
      </c>
      <c r="B66" s="13" t="s">
        <v>22</v>
      </c>
      <c r="C66" s="13"/>
      <c r="D66" s="22">
        <v>74.5</v>
      </c>
      <c r="E66" s="22">
        <v>69.790000000000006</v>
      </c>
      <c r="F66" s="41">
        <v>74.5</v>
      </c>
      <c r="G66" s="23" t="s">
        <v>46</v>
      </c>
      <c r="H66" s="23" t="s">
        <v>46</v>
      </c>
      <c r="I66" s="31">
        <v>69.790000000000006</v>
      </c>
      <c r="J66" s="27" t="s">
        <v>54</v>
      </c>
      <c r="K66" s="58" t="s">
        <v>55</v>
      </c>
      <c r="L66" s="51"/>
    </row>
    <row r="67" spans="1:12" ht="15.75" x14ac:dyDescent="0.25">
      <c r="A67" s="63"/>
      <c r="B67" s="19" t="s">
        <v>69</v>
      </c>
      <c r="C67" s="19"/>
      <c r="D67" s="67"/>
      <c r="E67" s="67"/>
      <c r="F67" s="70"/>
      <c r="G67" s="67"/>
      <c r="H67" s="67"/>
      <c r="I67" s="62"/>
      <c r="J67" s="62"/>
      <c r="K67" s="62"/>
      <c r="L67" s="53"/>
    </row>
    <row r="68" spans="1:12" ht="30" x14ac:dyDescent="0.25">
      <c r="A68" s="63">
        <v>1</v>
      </c>
      <c r="B68" s="13" t="s">
        <v>23</v>
      </c>
      <c r="C68" s="13"/>
      <c r="D68" s="3" t="s">
        <v>15</v>
      </c>
      <c r="E68" s="3" t="s">
        <v>16</v>
      </c>
      <c r="F68" s="40" t="s">
        <v>15</v>
      </c>
      <c r="G68" s="3" t="s">
        <v>15</v>
      </c>
      <c r="H68" s="3" t="s">
        <v>15</v>
      </c>
      <c r="I68" s="3" t="s">
        <v>15</v>
      </c>
      <c r="J68" s="10" t="s">
        <v>15</v>
      </c>
      <c r="K68" s="49" t="s">
        <v>15</v>
      </c>
      <c r="L68" s="51"/>
    </row>
    <row r="69" spans="1:12" ht="45" x14ac:dyDescent="0.25">
      <c r="A69" s="63">
        <v>2</v>
      </c>
      <c r="B69" s="13" t="s">
        <v>24</v>
      </c>
      <c r="C69" s="13"/>
      <c r="D69" s="7">
        <v>92</v>
      </c>
      <c r="E69" s="22">
        <v>97.14</v>
      </c>
      <c r="F69" s="43">
        <v>92</v>
      </c>
      <c r="G69" s="7">
        <v>97</v>
      </c>
      <c r="H69" s="31">
        <v>99.64</v>
      </c>
      <c r="I69" s="31">
        <v>99.76</v>
      </c>
      <c r="J69" s="28">
        <v>92</v>
      </c>
      <c r="K69" s="56">
        <v>97</v>
      </c>
      <c r="L69" s="51" t="s">
        <v>68</v>
      </c>
    </row>
    <row r="70" spans="1:12" ht="36" x14ac:dyDescent="0.25">
      <c r="A70" s="63">
        <v>3</v>
      </c>
      <c r="B70" s="13" t="s">
        <v>25</v>
      </c>
      <c r="C70" s="13"/>
      <c r="D70" s="7">
        <v>79</v>
      </c>
      <c r="E70" s="22">
        <v>81.39</v>
      </c>
      <c r="F70" s="43">
        <v>79</v>
      </c>
      <c r="G70" s="7">
        <v>82</v>
      </c>
      <c r="H70" s="31">
        <v>83.08</v>
      </c>
      <c r="I70" s="31">
        <v>83.08</v>
      </c>
      <c r="J70" s="28">
        <v>80</v>
      </c>
      <c r="K70" s="56">
        <v>83</v>
      </c>
      <c r="L70" s="51" t="s">
        <v>67</v>
      </c>
    </row>
    <row r="72" spans="1:12" x14ac:dyDescent="0.25">
      <c r="E72" s="66" t="s">
        <v>56</v>
      </c>
    </row>
    <row r="73" spans="1:12" x14ac:dyDescent="0.25">
      <c r="G73" s="66" t="s">
        <v>58</v>
      </c>
    </row>
    <row r="74" spans="1:12" x14ac:dyDescent="0.25">
      <c r="G74" s="73"/>
      <c r="H74" s="73"/>
    </row>
  </sheetData>
  <mergeCells count="6">
    <mergeCell ref="B4:B5"/>
    <mergeCell ref="D4:E4"/>
    <mergeCell ref="J4:L4"/>
    <mergeCell ref="B2:L2"/>
    <mergeCell ref="F4:I4"/>
    <mergeCell ref="C4:C5"/>
  </mergeCells>
  <pageMargins left="0.31496062992125984" right="0.31496062992125984" top="0.35433070866141736" bottom="0.35433070866141736" header="0.31496062992125984" footer="0.31496062992125984"/>
  <pageSetup paperSize="9" scale="61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Penyesuaian IK-2027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Program Bappebti</cp:lastModifiedBy>
  <cp:lastPrinted>2026-09-23T02:37:35Z</cp:lastPrinted>
  <dcterms:created xsi:type="dcterms:W3CDTF">2023-05-10T01:35:53Z</dcterms:created>
  <dcterms:modified xsi:type="dcterms:W3CDTF">2026-10-27T03:50:06Z</dcterms:modified>
</cp:coreProperties>
</file>